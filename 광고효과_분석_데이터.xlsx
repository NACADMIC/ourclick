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데이터" sheetId="1" state="visible" r:id="rId1"/>
    <sheet name="계산방식" sheetId="2" state="visible" r:id="rId2"/>
    <sheet name="요약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광고지출</t>
        </is>
      </c>
      <c r="D1" s="1" t="inlineStr">
        <is>
          <t>노출수</t>
        </is>
      </c>
      <c r="E1" s="1" t="inlineStr">
        <is>
          <t>클릭수</t>
        </is>
      </c>
      <c r="F1" s="1" t="inlineStr">
        <is>
          <t>주문수</t>
        </is>
      </c>
      <c r="G1" s="1" t="inlineStr">
        <is>
          <t>주문금액</t>
        </is>
      </c>
      <c r="H1" s="1" t="inlineStr">
        <is>
          <t>ROAS</t>
        </is>
      </c>
      <c r="I1" s="1" t="inlineStr">
        <is>
          <t>CTR(%)</t>
        </is>
      </c>
      <c r="J1" s="1" t="inlineStr">
        <is>
          <t>CVR(%)</t>
        </is>
      </c>
      <c r="K1" s="1" t="inlineStr">
        <is>
          <t>CPC</t>
        </is>
      </c>
      <c r="L1" s="1" t="inlineStr">
        <is>
          <t>CPA</t>
        </is>
      </c>
      <c r="M1" s="1" t="inlineStr">
        <is>
          <t>광고집행여부</t>
        </is>
      </c>
    </row>
    <row r="2">
      <c r="A2" s="2" t="inlineStr">
        <is>
          <t>10/1</t>
        </is>
      </c>
      <c r="B2" s="2" t="inlineStr">
        <is>
          <t>화</t>
        </is>
      </c>
      <c r="C2" s="2" t="n">
        <v>11700</v>
      </c>
      <c r="D2" s="2" t="n">
        <v>989</v>
      </c>
      <c r="E2" s="2" t="n">
        <v>39</v>
      </c>
      <c r="F2" s="2" t="n">
        <v>13</v>
      </c>
      <c r="G2" s="2" t="n">
        <v>335000</v>
      </c>
      <c r="H2" s="2" t="n">
        <v>30.81</v>
      </c>
      <c r="I2" s="2" t="n">
        <v>3.94</v>
      </c>
      <c r="J2" s="2" t="n">
        <v>33.33</v>
      </c>
      <c r="K2" s="2" t="n">
        <v>300</v>
      </c>
      <c r="L2" s="2" t="n">
        <v>900</v>
      </c>
      <c r="M2" s="3" t="inlineStr">
        <is>
          <t>미집행</t>
        </is>
      </c>
    </row>
    <row r="3">
      <c r="A3" s="2" t="inlineStr">
        <is>
          <t>10/2</t>
        </is>
      </c>
      <c r="B3" s="2" t="inlineStr">
        <is>
          <t>수</t>
        </is>
      </c>
      <c r="C3" s="2" t="n">
        <v>12300</v>
      </c>
      <c r="D3" s="2" t="n">
        <v>1071</v>
      </c>
      <c r="E3" s="2" t="n">
        <v>41</v>
      </c>
      <c r="F3" s="2" t="n">
        <v>10</v>
      </c>
      <c r="G3" s="2" t="n">
        <v>236400</v>
      </c>
      <c r="H3" s="2" t="n">
        <v>20.46</v>
      </c>
      <c r="I3" s="2" t="n">
        <v>3.83</v>
      </c>
      <c r="J3" s="2" t="n">
        <v>24.39</v>
      </c>
      <c r="K3" s="2" t="n">
        <v>300</v>
      </c>
      <c r="L3" s="2" t="n">
        <v>1230</v>
      </c>
      <c r="M3" s="3" t="inlineStr">
        <is>
          <t>미집행</t>
        </is>
      </c>
    </row>
    <row r="4">
      <c r="A4" s="2" t="inlineStr">
        <is>
          <t>10/3</t>
        </is>
      </c>
      <c r="B4" s="2" t="inlineStr">
        <is>
          <t>목</t>
        </is>
      </c>
      <c r="C4" s="2" t="n">
        <v>15900</v>
      </c>
      <c r="D4" s="2" t="n">
        <v>1282</v>
      </c>
      <c r="E4" s="2" t="n">
        <v>53</v>
      </c>
      <c r="F4" s="2" t="n">
        <v>11</v>
      </c>
      <c r="G4" s="2" t="n">
        <v>271800</v>
      </c>
      <c r="H4" s="2" t="n">
        <v>18.31</v>
      </c>
      <c r="I4" s="2" t="n">
        <v>4.13</v>
      </c>
      <c r="J4" s="2" t="n">
        <v>20.75</v>
      </c>
      <c r="K4" s="2" t="n">
        <v>300</v>
      </c>
      <c r="L4" s="2" t="n">
        <v>1445</v>
      </c>
      <c r="M4" s="3" t="inlineStr">
        <is>
          <t>미집행</t>
        </is>
      </c>
    </row>
    <row r="5">
      <c r="A5" s="2" t="inlineStr">
        <is>
          <t>10/4</t>
        </is>
      </c>
      <c r="B5" s="2" t="inlineStr">
        <is>
          <t>금</t>
        </is>
      </c>
      <c r="C5" s="2" t="n">
        <v>14700</v>
      </c>
      <c r="D5" s="2" t="n">
        <v>1059</v>
      </c>
      <c r="E5" s="2" t="n">
        <v>49</v>
      </c>
      <c r="F5" s="2" t="n">
        <v>15</v>
      </c>
      <c r="G5" s="2" t="n">
        <v>390000</v>
      </c>
      <c r="H5" s="2" t="n">
        <v>28.17</v>
      </c>
      <c r="I5" s="2" t="n">
        <v>4.63</v>
      </c>
      <c r="J5" s="2" t="n">
        <v>30.61</v>
      </c>
      <c r="K5" s="2" t="n">
        <v>300</v>
      </c>
      <c r="L5" s="2" t="n">
        <v>980</v>
      </c>
      <c r="M5" s="3" t="inlineStr">
        <is>
          <t>미집행</t>
        </is>
      </c>
    </row>
    <row r="6">
      <c r="A6" s="2" t="inlineStr">
        <is>
          <t>10/5</t>
        </is>
      </c>
      <c r="B6" s="2" t="inlineStr">
        <is>
          <t>토</t>
        </is>
      </c>
      <c r="C6" s="2" t="n">
        <v>21000</v>
      </c>
      <c r="D6" s="2" t="n">
        <v>1483</v>
      </c>
      <c r="E6" s="2" t="n">
        <v>70</v>
      </c>
      <c r="F6" s="2" t="n">
        <v>18</v>
      </c>
      <c r="G6" s="2" t="n">
        <v>520700</v>
      </c>
      <c r="H6" s="2" t="n">
        <v>25.92</v>
      </c>
      <c r="I6" s="2" t="n">
        <v>4.72</v>
      </c>
      <c r="J6" s="2" t="n">
        <v>25.71</v>
      </c>
      <c r="K6" s="2" t="n">
        <v>300</v>
      </c>
      <c r="L6" s="2" t="n">
        <v>1167</v>
      </c>
      <c r="M6" s="3" t="inlineStr">
        <is>
          <t>미집행</t>
        </is>
      </c>
    </row>
    <row r="7">
      <c r="A7" s="2" t="inlineStr">
        <is>
          <t>10/6</t>
        </is>
      </c>
      <c r="B7" s="2" t="inlineStr">
        <is>
          <t>일</t>
        </is>
      </c>
      <c r="C7" s="2" t="n">
        <v>0</v>
      </c>
      <c r="D7" s="2" t="n">
        <v>2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3" t="inlineStr">
        <is>
          <t>미집행</t>
        </is>
      </c>
    </row>
    <row r="8">
      <c r="A8" s="2" t="inlineStr">
        <is>
          <t>10/7</t>
        </is>
      </c>
      <c r="B8" s="2" t="inlineStr">
        <is>
          <t>월</t>
        </is>
      </c>
      <c r="C8" s="2" t="n">
        <v>31500</v>
      </c>
      <c r="D8" s="2" t="n">
        <v>1971</v>
      </c>
      <c r="E8" s="2" t="n">
        <v>105</v>
      </c>
      <c r="F8" s="2" t="n">
        <v>26</v>
      </c>
      <c r="G8" s="2" t="n">
        <v>672300</v>
      </c>
      <c r="H8" s="2" t="n">
        <v>22.57</v>
      </c>
      <c r="I8" s="2" t="n">
        <v>5.33</v>
      </c>
      <c r="J8" s="2" t="n">
        <v>24.76</v>
      </c>
      <c r="K8" s="2" t="n">
        <v>300</v>
      </c>
      <c r="L8" s="2" t="n">
        <v>1212</v>
      </c>
      <c r="M8" s="3" t="inlineStr">
        <is>
          <t>미집행</t>
        </is>
      </c>
    </row>
    <row r="9">
      <c r="A9" s="2" t="inlineStr">
        <is>
          <t>10/8</t>
        </is>
      </c>
      <c r="B9" s="2" t="inlineStr">
        <is>
          <t>화</t>
        </is>
      </c>
      <c r="C9" s="2" t="n">
        <v>18300</v>
      </c>
      <c r="D9" s="2" t="n">
        <v>1442</v>
      </c>
      <c r="E9" s="2" t="n">
        <v>61</v>
      </c>
      <c r="F9" s="2" t="n">
        <v>16</v>
      </c>
      <c r="G9" s="2" t="n">
        <v>454100</v>
      </c>
      <c r="H9" s="2" t="n">
        <v>26.16</v>
      </c>
      <c r="I9" s="2" t="n">
        <v>4.23</v>
      </c>
      <c r="J9" s="2" t="n">
        <v>26.23</v>
      </c>
      <c r="K9" s="2" t="n">
        <v>300</v>
      </c>
      <c r="L9" s="2" t="n">
        <v>1144</v>
      </c>
      <c r="M9" s="3" t="inlineStr">
        <is>
          <t>미집행</t>
        </is>
      </c>
    </row>
    <row r="10">
      <c r="A10" s="2" t="inlineStr">
        <is>
          <t>10/9</t>
        </is>
      </c>
      <c r="B10" s="2" t="inlineStr">
        <is>
          <t>수</t>
        </is>
      </c>
      <c r="C10" s="2" t="n">
        <v>15000</v>
      </c>
      <c r="D10" s="2" t="n">
        <v>1453</v>
      </c>
      <c r="E10" s="2" t="n">
        <v>50</v>
      </c>
      <c r="F10" s="2" t="n">
        <v>8</v>
      </c>
      <c r="G10" s="2" t="n">
        <v>204000</v>
      </c>
      <c r="H10" s="2" t="n">
        <v>14.53</v>
      </c>
      <c r="I10" s="2" t="n">
        <v>3.44</v>
      </c>
      <c r="J10" s="2" t="n">
        <v>16</v>
      </c>
      <c r="K10" s="2" t="n">
        <v>300</v>
      </c>
      <c r="L10" s="2" t="n">
        <v>1875</v>
      </c>
      <c r="M10" s="3" t="inlineStr">
        <is>
          <t>미집행</t>
        </is>
      </c>
    </row>
    <row r="11">
      <c r="A11" s="2" t="inlineStr">
        <is>
          <t>10/10</t>
        </is>
      </c>
      <c r="B11" s="2" t="inlineStr">
        <is>
          <t>목</t>
        </is>
      </c>
      <c r="C11" s="2" t="n">
        <v>15900</v>
      </c>
      <c r="D11" s="2" t="n">
        <v>1170</v>
      </c>
      <c r="E11" s="2" t="n">
        <v>53</v>
      </c>
      <c r="F11" s="2" t="n">
        <v>17</v>
      </c>
      <c r="G11" s="2" t="n">
        <v>436700</v>
      </c>
      <c r="H11" s="2" t="n">
        <v>29.37</v>
      </c>
      <c r="I11" s="2" t="n">
        <v>4.53</v>
      </c>
      <c r="J11" s="2" t="n">
        <v>32.08</v>
      </c>
      <c r="K11" s="2" t="n">
        <v>300</v>
      </c>
      <c r="L11" s="2" t="n">
        <v>935</v>
      </c>
      <c r="M11" s="3" t="inlineStr">
        <is>
          <t>미집행</t>
        </is>
      </c>
    </row>
    <row r="12">
      <c r="A12" s="2" t="inlineStr">
        <is>
          <t>10/11</t>
        </is>
      </c>
      <c r="B12" s="2" t="inlineStr">
        <is>
          <t>금</t>
        </is>
      </c>
      <c r="C12" s="2" t="n">
        <v>18600</v>
      </c>
      <c r="D12" s="2" t="n">
        <v>1350</v>
      </c>
      <c r="E12" s="2" t="n">
        <v>62</v>
      </c>
      <c r="F12" s="2" t="n">
        <v>14</v>
      </c>
      <c r="G12" s="2" t="n">
        <v>322600</v>
      </c>
      <c r="H12" s="2" t="n">
        <v>18.58</v>
      </c>
      <c r="I12" s="2" t="n">
        <v>4.59</v>
      </c>
      <c r="J12" s="2" t="n">
        <v>22.58</v>
      </c>
      <c r="K12" s="2" t="n">
        <v>300</v>
      </c>
      <c r="L12" s="2" t="n">
        <v>1329</v>
      </c>
      <c r="M12" s="3" t="inlineStr">
        <is>
          <t>미집행</t>
        </is>
      </c>
    </row>
    <row r="13">
      <c r="A13" s="2" t="inlineStr">
        <is>
          <t>10/12</t>
        </is>
      </c>
      <c r="B13" s="2" t="inlineStr">
        <is>
          <t>토</t>
        </is>
      </c>
      <c r="C13" s="2" t="n">
        <v>16200</v>
      </c>
      <c r="D13" s="2" t="n">
        <v>1502</v>
      </c>
      <c r="E13" s="2" t="n">
        <v>54</v>
      </c>
      <c r="F13" s="2" t="n">
        <v>8</v>
      </c>
      <c r="G13" s="2" t="n">
        <v>216800</v>
      </c>
      <c r="H13" s="2" t="n">
        <v>13.99</v>
      </c>
      <c r="I13" s="2" t="n">
        <v>3.6</v>
      </c>
      <c r="J13" s="2" t="n">
        <v>14.81</v>
      </c>
      <c r="K13" s="2" t="n">
        <v>300</v>
      </c>
      <c r="L13" s="2" t="n">
        <v>2025</v>
      </c>
      <c r="M13" s="3" t="inlineStr">
        <is>
          <t>미집행</t>
        </is>
      </c>
    </row>
    <row r="14">
      <c r="A14" s="2" t="inlineStr">
        <is>
          <t>10/13</t>
        </is>
      </c>
      <c r="B14" s="2" t="inlineStr">
        <is>
          <t>일</t>
        </is>
      </c>
      <c r="C14" s="2" t="n">
        <v>17700</v>
      </c>
      <c r="D14" s="2" t="n">
        <v>1173</v>
      </c>
      <c r="E14" s="2" t="n">
        <v>59</v>
      </c>
      <c r="F14" s="2" t="n">
        <v>27</v>
      </c>
      <c r="G14" s="2" t="n">
        <v>681400</v>
      </c>
      <c r="H14" s="2" t="n">
        <v>41.13</v>
      </c>
      <c r="I14" s="2" t="n">
        <v>5.03</v>
      </c>
      <c r="J14" s="2" t="n">
        <v>45.76</v>
      </c>
      <c r="K14" s="2" t="n">
        <v>300</v>
      </c>
      <c r="L14" s="2" t="n">
        <v>656</v>
      </c>
      <c r="M14" s="3" t="inlineStr">
        <is>
          <t>미집행</t>
        </is>
      </c>
    </row>
    <row r="15">
      <c r="A15" s="2" t="inlineStr">
        <is>
          <t>10/14</t>
        </is>
      </c>
      <c r="B15" s="2" t="inlineStr">
        <is>
          <t>월</t>
        </is>
      </c>
      <c r="C15" s="2" t="n">
        <v>15900</v>
      </c>
      <c r="D15" s="2" t="n">
        <v>1095</v>
      </c>
      <c r="E15" s="2" t="n">
        <v>53</v>
      </c>
      <c r="F15" s="2" t="n">
        <v>13</v>
      </c>
      <c r="G15" s="2" t="n">
        <v>329400</v>
      </c>
      <c r="H15" s="2" t="n">
        <v>22.21</v>
      </c>
      <c r="I15" s="2" t="n">
        <v>4.84</v>
      </c>
      <c r="J15" s="2" t="n">
        <v>24.53</v>
      </c>
      <c r="K15" s="2" t="n">
        <v>300</v>
      </c>
      <c r="L15" s="2" t="n">
        <v>1223</v>
      </c>
      <c r="M15" s="3" t="inlineStr">
        <is>
          <t>미집행</t>
        </is>
      </c>
    </row>
    <row r="16">
      <c r="A16" s="2" t="inlineStr">
        <is>
          <t>10/15</t>
        </is>
      </c>
      <c r="B16" s="2" t="inlineStr">
        <is>
          <t>화</t>
        </is>
      </c>
      <c r="C16" s="2" t="n">
        <v>17700</v>
      </c>
      <c r="D16" s="2" t="n">
        <v>1304</v>
      </c>
      <c r="E16" s="2" t="n">
        <v>59</v>
      </c>
      <c r="F16" s="2" t="n">
        <v>12</v>
      </c>
      <c r="G16" s="2" t="n">
        <v>291200</v>
      </c>
      <c r="H16" s="2" t="n">
        <v>17.68</v>
      </c>
      <c r="I16" s="2" t="n">
        <v>4.52</v>
      </c>
      <c r="J16" s="2" t="n">
        <v>20.34</v>
      </c>
      <c r="K16" s="2" t="n">
        <v>300</v>
      </c>
      <c r="L16" s="2" t="n">
        <v>1475</v>
      </c>
      <c r="M16" s="3" t="inlineStr">
        <is>
          <t>미집행</t>
        </is>
      </c>
    </row>
    <row r="17">
      <c r="A17" s="2" t="inlineStr">
        <is>
          <t>10/16</t>
        </is>
      </c>
      <c r="B17" s="2" t="inlineStr">
        <is>
          <t>수</t>
        </is>
      </c>
      <c r="C17" s="2" t="n">
        <v>15900</v>
      </c>
      <c r="D17" s="2" t="n">
        <v>1093</v>
      </c>
      <c r="E17" s="2" t="n">
        <v>53</v>
      </c>
      <c r="F17" s="2" t="n">
        <v>11</v>
      </c>
      <c r="G17" s="2" t="n">
        <v>278500</v>
      </c>
      <c r="H17" s="2" t="n">
        <v>18.53</v>
      </c>
      <c r="I17" s="2" t="n">
        <v>4.85</v>
      </c>
      <c r="J17" s="2" t="n">
        <v>20.75</v>
      </c>
      <c r="K17" s="2" t="n">
        <v>300</v>
      </c>
      <c r="L17" s="2" t="n">
        <v>1445</v>
      </c>
      <c r="M17" s="3" t="inlineStr">
        <is>
          <t>미집행</t>
        </is>
      </c>
    </row>
    <row r="18">
      <c r="A18" s="2" t="inlineStr">
        <is>
          <t>10/17</t>
        </is>
      </c>
      <c r="B18" s="2" t="inlineStr">
        <is>
          <t>목</t>
        </is>
      </c>
      <c r="C18" s="2" t="n">
        <v>18600</v>
      </c>
      <c r="D18" s="2" t="n">
        <v>1347</v>
      </c>
      <c r="E18" s="2" t="n">
        <v>62</v>
      </c>
      <c r="F18" s="2" t="n">
        <v>16</v>
      </c>
      <c r="G18" s="2" t="n">
        <v>356000</v>
      </c>
      <c r="H18" s="2" t="n">
        <v>20.62</v>
      </c>
      <c r="I18" s="2" t="n">
        <v>4.6</v>
      </c>
      <c r="J18" s="2" t="n">
        <v>25.81</v>
      </c>
      <c r="K18" s="2" t="n">
        <v>300</v>
      </c>
      <c r="L18" s="2" t="n">
        <v>1163</v>
      </c>
      <c r="M18" s="3" t="inlineStr">
        <is>
          <t>미집행</t>
        </is>
      </c>
    </row>
    <row r="19">
      <c r="A19" s="2" t="inlineStr">
        <is>
          <t>10/18</t>
        </is>
      </c>
      <c r="B19" s="2" t="inlineStr">
        <is>
          <t>금</t>
        </is>
      </c>
      <c r="C19" s="2" t="n">
        <v>22200</v>
      </c>
      <c r="D19" s="2" t="n">
        <v>1589</v>
      </c>
      <c r="E19" s="2" t="n">
        <v>74</v>
      </c>
      <c r="F19" s="2" t="n">
        <v>21</v>
      </c>
      <c r="G19" s="2" t="n">
        <v>430100</v>
      </c>
      <c r="H19" s="2" t="n">
        <v>21.1</v>
      </c>
      <c r="I19" s="2" t="n">
        <v>4.66</v>
      </c>
      <c r="J19" s="2" t="n">
        <v>28.38</v>
      </c>
      <c r="K19" s="2" t="n">
        <v>300</v>
      </c>
      <c r="L19" s="2" t="n">
        <v>1057</v>
      </c>
      <c r="M19" s="3" t="inlineStr">
        <is>
          <t>미집행</t>
        </is>
      </c>
    </row>
    <row r="20">
      <c r="A20" s="2" t="inlineStr">
        <is>
          <t>10/19</t>
        </is>
      </c>
      <c r="B20" s="2" t="inlineStr">
        <is>
          <t>토</t>
        </is>
      </c>
      <c r="C20" s="2" t="n">
        <v>24300</v>
      </c>
      <c r="D20" s="2" t="n">
        <v>1859</v>
      </c>
      <c r="E20" s="2" t="n">
        <v>81</v>
      </c>
      <c r="F20" s="2" t="n">
        <v>15</v>
      </c>
      <c r="G20" s="2" t="n">
        <v>378300</v>
      </c>
      <c r="H20" s="2" t="n">
        <v>16.79</v>
      </c>
      <c r="I20" s="2" t="n">
        <v>4.36</v>
      </c>
      <c r="J20" s="2" t="n">
        <v>18.52</v>
      </c>
      <c r="K20" s="2" t="n">
        <v>300</v>
      </c>
      <c r="L20" s="2" t="n">
        <v>1620</v>
      </c>
      <c r="M20" s="3" t="inlineStr">
        <is>
          <t>미집행</t>
        </is>
      </c>
    </row>
    <row r="21">
      <c r="A21" s="2" t="inlineStr">
        <is>
          <t>10/20</t>
        </is>
      </c>
      <c r="B21" s="2" t="inlineStr">
        <is>
          <t>일</t>
        </is>
      </c>
      <c r="C21" s="2" t="n">
        <v>17400</v>
      </c>
      <c r="D21" s="2" t="n">
        <v>1144</v>
      </c>
      <c r="E21" s="2" t="n">
        <v>58</v>
      </c>
      <c r="F21" s="2" t="n">
        <v>16</v>
      </c>
      <c r="G21" s="2" t="n">
        <v>328000</v>
      </c>
      <c r="H21" s="2" t="n">
        <v>20.86</v>
      </c>
      <c r="I21" s="2" t="n">
        <v>5.07</v>
      </c>
      <c r="J21" s="2" t="n">
        <v>27.59</v>
      </c>
      <c r="K21" s="2" t="n">
        <v>300</v>
      </c>
      <c r="L21" s="2" t="n">
        <v>1088</v>
      </c>
      <c r="M21" s="3" t="inlineStr">
        <is>
          <t>미집행</t>
        </is>
      </c>
    </row>
    <row r="22">
      <c r="A22" s="2" t="inlineStr">
        <is>
          <t>10/21</t>
        </is>
      </c>
      <c r="B22" s="2" t="inlineStr">
        <is>
          <t>월</t>
        </is>
      </c>
      <c r="C22" s="2" t="n">
        <v>15300</v>
      </c>
      <c r="D22" s="2" t="n">
        <v>1172</v>
      </c>
      <c r="E22" s="2" t="n">
        <v>51</v>
      </c>
      <c r="F22" s="2" t="n">
        <v>16</v>
      </c>
      <c r="G22" s="2" t="n">
        <v>376100</v>
      </c>
      <c r="H22" s="2" t="n">
        <v>26.36</v>
      </c>
      <c r="I22" s="2" t="n">
        <v>4.35</v>
      </c>
      <c r="J22" s="2" t="n">
        <v>31.37</v>
      </c>
      <c r="K22" s="2" t="n">
        <v>300</v>
      </c>
      <c r="L22" s="2" t="n">
        <v>956</v>
      </c>
      <c r="M22" s="3" t="inlineStr">
        <is>
          <t>미집행</t>
        </is>
      </c>
    </row>
    <row r="23">
      <c r="A23" s="2" t="inlineStr">
        <is>
          <t>10/22</t>
        </is>
      </c>
      <c r="B23" s="2" t="inlineStr">
        <is>
          <t>화</t>
        </is>
      </c>
      <c r="C23" s="2" t="n">
        <v>13500</v>
      </c>
      <c r="D23" s="2" t="n">
        <v>1147</v>
      </c>
      <c r="E23" s="2" t="n">
        <v>45</v>
      </c>
      <c r="F23" s="2" t="n">
        <v>13</v>
      </c>
      <c r="G23" s="2" t="n">
        <v>392900</v>
      </c>
      <c r="H23" s="2" t="n">
        <v>30.27</v>
      </c>
      <c r="I23" s="2" t="n">
        <v>3.92</v>
      </c>
      <c r="J23" s="2" t="n">
        <v>28.89</v>
      </c>
      <c r="K23" s="2" t="n">
        <v>300</v>
      </c>
      <c r="L23" s="2" t="n">
        <v>1038</v>
      </c>
      <c r="M23" s="3" t="inlineStr">
        <is>
          <t>미집행</t>
        </is>
      </c>
    </row>
    <row r="24">
      <c r="A24" s="2" t="inlineStr">
        <is>
          <t>10/23</t>
        </is>
      </c>
      <c r="B24" s="2" t="inlineStr">
        <is>
          <t>수</t>
        </is>
      </c>
      <c r="C24" s="2" t="n">
        <v>11700</v>
      </c>
      <c r="D24" s="2" t="n">
        <v>965</v>
      </c>
      <c r="E24" s="2" t="n">
        <v>39</v>
      </c>
      <c r="F24" s="2" t="n">
        <v>12</v>
      </c>
      <c r="G24" s="2" t="n">
        <v>234400</v>
      </c>
      <c r="H24" s="2" t="n">
        <v>22.08</v>
      </c>
      <c r="I24" s="2" t="n">
        <v>4.04</v>
      </c>
      <c r="J24" s="2" t="n">
        <v>30.77</v>
      </c>
      <c r="K24" s="2" t="n">
        <v>300</v>
      </c>
      <c r="L24" s="2" t="n">
        <v>975</v>
      </c>
      <c r="M24" s="3" t="inlineStr">
        <is>
          <t>미집행</t>
        </is>
      </c>
    </row>
    <row r="25">
      <c r="A25" s="2" t="inlineStr">
        <is>
          <t>10/24</t>
        </is>
      </c>
      <c r="B25" s="2" t="inlineStr">
        <is>
          <t>목</t>
        </is>
      </c>
      <c r="C25" s="2" t="n">
        <v>9300</v>
      </c>
      <c r="D25" s="2" t="n">
        <v>987</v>
      </c>
      <c r="E25" s="2" t="n">
        <v>31</v>
      </c>
      <c r="F25" s="2" t="n">
        <v>8</v>
      </c>
      <c r="G25" s="2" t="n">
        <v>168000</v>
      </c>
      <c r="H25" s="2" t="n">
        <v>19.87</v>
      </c>
      <c r="I25" s="2" t="n">
        <v>3.14</v>
      </c>
      <c r="J25" s="2" t="n">
        <v>25.81</v>
      </c>
      <c r="K25" s="2" t="n">
        <v>300</v>
      </c>
      <c r="L25" s="2" t="n">
        <v>1163</v>
      </c>
      <c r="M25" s="3" t="inlineStr">
        <is>
          <t>미집행</t>
        </is>
      </c>
    </row>
    <row r="26">
      <c r="A26" s="2" t="inlineStr">
        <is>
          <t>10/25</t>
        </is>
      </c>
      <c r="B26" s="2" t="inlineStr">
        <is>
          <t>금</t>
        </is>
      </c>
      <c r="C26" s="2" t="n">
        <v>20100</v>
      </c>
      <c r="D26" s="2" t="n">
        <v>1430</v>
      </c>
      <c r="E26" s="2" t="n">
        <v>67</v>
      </c>
      <c r="F26" s="2" t="n">
        <v>17</v>
      </c>
      <c r="G26" s="2" t="n">
        <v>359200</v>
      </c>
      <c r="H26" s="2" t="n">
        <v>19.03</v>
      </c>
      <c r="I26" s="2" t="n">
        <v>4.69</v>
      </c>
      <c r="J26" s="2" t="n">
        <v>25.37</v>
      </c>
      <c r="K26" s="2" t="n">
        <v>300</v>
      </c>
      <c r="L26" s="2" t="n">
        <v>1182</v>
      </c>
      <c r="M26" s="3" t="inlineStr">
        <is>
          <t>미집행</t>
        </is>
      </c>
    </row>
    <row r="27">
      <c r="A27" s="2" t="inlineStr">
        <is>
          <t>10/26</t>
        </is>
      </c>
      <c r="B27" s="2" t="inlineStr">
        <is>
          <t>토</t>
        </is>
      </c>
      <c r="C27" s="2" t="n">
        <v>21000</v>
      </c>
      <c r="D27" s="2" t="n">
        <v>1889</v>
      </c>
      <c r="E27" s="2" t="n">
        <v>70</v>
      </c>
      <c r="F27" s="2" t="n">
        <v>10</v>
      </c>
      <c r="G27" s="2" t="n">
        <v>250300</v>
      </c>
      <c r="H27" s="2" t="n">
        <v>12.72</v>
      </c>
      <c r="I27" s="2" t="n">
        <v>3.71</v>
      </c>
      <c r="J27" s="2" t="n">
        <v>14.29</v>
      </c>
      <c r="K27" s="2" t="n">
        <v>300</v>
      </c>
      <c r="L27" s="2" t="n">
        <v>2100</v>
      </c>
      <c r="M27" s="3" t="inlineStr">
        <is>
          <t>미집행</t>
        </is>
      </c>
    </row>
    <row r="28">
      <c r="A28" s="2" t="inlineStr">
        <is>
          <t>10/27</t>
        </is>
      </c>
      <c r="B28" s="2" t="inlineStr">
        <is>
          <t>일</t>
        </is>
      </c>
      <c r="C28" s="2" t="n">
        <v>19200</v>
      </c>
      <c r="D28" s="2" t="n">
        <v>1121</v>
      </c>
      <c r="E28" s="2" t="n">
        <v>64</v>
      </c>
      <c r="F28" s="2" t="n">
        <v>18</v>
      </c>
      <c r="G28" s="2" t="n">
        <v>371800</v>
      </c>
      <c r="H28" s="2" t="n">
        <v>20.94</v>
      </c>
      <c r="I28" s="2" t="n">
        <v>5.71</v>
      </c>
      <c r="J28" s="2" t="n">
        <v>28.13</v>
      </c>
      <c r="K28" s="2" t="n">
        <v>300</v>
      </c>
      <c r="L28" s="2" t="n">
        <v>1067</v>
      </c>
      <c r="M28" s="3" t="inlineStr">
        <is>
          <t>미집행</t>
        </is>
      </c>
    </row>
    <row r="29">
      <c r="A29" s="2" t="inlineStr">
        <is>
          <t>10/28</t>
        </is>
      </c>
      <c r="B29" s="2" t="inlineStr">
        <is>
          <t>월</t>
        </is>
      </c>
      <c r="C29" s="2" t="n">
        <v>9300</v>
      </c>
      <c r="D29" s="2" t="n">
        <v>779</v>
      </c>
      <c r="E29" s="2" t="n">
        <v>31</v>
      </c>
      <c r="F29" s="2" t="n">
        <v>4</v>
      </c>
      <c r="G29" s="2" t="n">
        <v>96500</v>
      </c>
      <c r="H29" s="2" t="n">
        <v>11.06</v>
      </c>
      <c r="I29" s="2" t="n">
        <v>3.98</v>
      </c>
      <c r="J29" s="2" t="n">
        <v>12.9</v>
      </c>
      <c r="K29" s="2" t="n">
        <v>300</v>
      </c>
      <c r="L29" s="2" t="n">
        <v>2325</v>
      </c>
      <c r="M29" s="3" t="inlineStr">
        <is>
          <t>미집행</t>
        </is>
      </c>
    </row>
    <row r="30">
      <c r="A30" s="2" t="inlineStr">
        <is>
          <t>10/29</t>
        </is>
      </c>
      <c r="B30" s="2" t="inlineStr">
        <is>
          <t>화</t>
        </is>
      </c>
      <c r="C30" s="2" t="n">
        <v>18900</v>
      </c>
      <c r="D30" s="2" t="n">
        <v>1176</v>
      </c>
      <c r="E30" s="2" t="n">
        <v>63</v>
      </c>
      <c r="F30" s="2" t="n">
        <v>15</v>
      </c>
      <c r="G30" s="2" t="n">
        <v>404400</v>
      </c>
      <c r="H30" s="2" t="n">
        <v>21.93</v>
      </c>
      <c r="I30" s="2" t="n">
        <v>5.36</v>
      </c>
      <c r="J30" s="2" t="n">
        <v>23.81</v>
      </c>
      <c r="K30" s="2" t="n">
        <v>300</v>
      </c>
      <c r="L30" s="2" t="n">
        <v>1260</v>
      </c>
      <c r="M30" s="3" t="inlineStr">
        <is>
          <t>미집행</t>
        </is>
      </c>
    </row>
    <row r="31">
      <c r="A31" s="2" t="inlineStr">
        <is>
          <t>10/30</t>
        </is>
      </c>
      <c r="B31" s="2" t="inlineStr">
        <is>
          <t>수</t>
        </is>
      </c>
      <c r="C31" s="2" t="n">
        <v>10200</v>
      </c>
      <c r="D31" s="2" t="n">
        <v>892</v>
      </c>
      <c r="E31" s="2" t="n">
        <v>34</v>
      </c>
      <c r="F31" s="2" t="n">
        <v>14</v>
      </c>
      <c r="G31" s="2" t="n">
        <v>255500</v>
      </c>
      <c r="H31" s="2" t="n">
        <v>27.31</v>
      </c>
      <c r="I31" s="2" t="n">
        <v>3.81</v>
      </c>
      <c r="J31" s="2" t="n">
        <v>41.18</v>
      </c>
      <c r="K31" s="2" t="n">
        <v>300</v>
      </c>
      <c r="L31" s="2" t="n">
        <v>729</v>
      </c>
      <c r="M31" s="3" t="inlineStr">
        <is>
          <t>미집행</t>
        </is>
      </c>
    </row>
    <row r="32">
      <c r="A32" s="2" t="inlineStr">
        <is>
          <t>10/31</t>
        </is>
      </c>
      <c r="B32" s="2" t="inlineStr">
        <is>
          <t>목</t>
        </is>
      </c>
      <c r="C32" s="2" t="n">
        <v>9900</v>
      </c>
      <c r="D32" s="2" t="n">
        <v>790</v>
      </c>
      <c r="E32" s="2" t="n">
        <v>33</v>
      </c>
      <c r="F32" s="2" t="n">
        <v>10</v>
      </c>
      <c r="G32" s="2" t="n">
        <v>189400</v>
      </c>
      <c r="H32" s="2" t="n">
        <v>20.25</v>
      </c>
      <c r="I32" s="2" t="n">
        <v>4.18</v>
      </c>
      <c r="J32" s="2" t="n">
        <v>30.3</v>
      </c>
      <c r="K32" s="2" t="n">
        <v>300</v>
      </c>
      <c r="L32" s="2" t="n">
        <v>990</v>
      </c>
      <c r="M32" s="3" t="inlineStr">
        <is>
          <t>미집행</t>
        </is>
      </c>
    </row>
    <row r="33">
      <c r="A33" s="2" t="inlineStr">
        <is>
          <t>11/1</t>
        </is>
      </c>
      <c r="B33" s="2" t="inlineStr">
        <is>
          <t>금</t>
        </is>
      </c>
      <c r="C33" s="2" t="n">
        <v>10500</v>
      </c>
      <c r="D33" s="2" t="n">
        <v>1155</v>
      </c>
      <c r="E33" s="2" t="n">
        <v>35</v>
      </c>
      <c r="F33" s="2" t="n">
        <v>18</v>
      </c>
      <c r="G33" s="2" t="n">
        <v>427100</v>
      </c>
      <c r="H33" s="2" t="n">
        <v>43</v>
      </c>
      <c r="I33" s="2" t="n">
        <v>3.03</v>
      </c>
      <c r="J33" s="2" t="n">
        <v>51.43</v>
      </c>
      <c r="K33" s="2" t="n">
        <v>300</v>
      </c>
      <c r="L33" s="2" t="n">
        <v>583</v>
      </c>
      <c r="M33" s="3" t="inlineStr">
        <is>
          <t>미집행</t>
        </is>
      </c>
    </row>
    <row r="34">
      <c r="A34" s="2" t="inlineStr">
        <is>
          <t>11/2</t>
        </is>
      </c>
      <c r="B34" s="2" t="inlineStr">
        <is>
          <t>토</t>
        </is>
      </c>
      <c r="C34" s="2" t="n">
        <v>15600</v>
      </c>
      <c r="D34" s="2" t="n">
        <v>1303</v>
      </c>
      <c r="E34" s="2" t="n">
        <v>52</v>
      </c>
      <c r="F34" s="2" t="n">
        <v>10</v>
      </c>
      <c r="G34" s="2" t="n">
        <v>177300</v>
      </c>
      <c r="H34" s="2" t="n">
        <v>12.29</v>
      </c>
      <c r="I34" s="2" t="n">
        <v>3.99</v>
      </c>
      <c r="J34" s="2" t="n">
        <v>19.23</v>
      </c>
      <c r="K34" s="2" t="n">
        <v>300</v>
      </c>
      <c r="L34" s="2" t="n">
        <v>1560</v>
      </c>
      <c r="M34" s="3" t="inlineStr">
        <is>
          <t>미집행</t>
        </is>
      </c>
    </row>
    <row r="35">
      <c r="A35" s="2" t="inlineStr">
        <is>
          <t>11/3</t>
        </is>
      </c>
      <c r="B35" s="2" t="inlineStr">
        <is>
          <t>일</t>
        </is>
      </c>
      <c r="C35" s="2" t="n">
        <v>17400</v>
      </c>
      <c r="D35" s="2" t="n">
        <v>1034</v>
      </c>
      <c r="E35" s="2" t="n">
        <v>58</v>
      </c>
      <c r="F35" s="2" t="n">
        <v>12</v>
      </c>
      <c r="G35" s="2" t="n">
        <v>295700</v>
      </c>
      <c r="H35" s="2" t="n">
        <v>17.66</v>
      </c>
      <c r="I35" s="2" t="n">
        <v>5.61</v>
      </c>
      <c r="J35" s="2" t="n">
        <v>20.69</v>
      </c>
      <c r="K35" s="2" t="n">
        <v>300</v>
      </c>
      <c r="L35" s="2" t="n">
        <v>1450</v>
      </c>
      <c r="M35" s="3" t="inlineStr">
        <is>
          <t>미집행</t>
        </is>
      </c>
    </row>
    <row r="36">
      <c r="A36" s="2" t="inlineStr">
        <is>
          <t>11/4</t>
        </is>
      </c>
      <c r="B36" s="2" t="inlineStr">
        <is>
          <t>월</t>
        </is>
      </c>
      <c r="C36" s="2" t="n">
        <v>10800</v>
      </c>
      <c r="D36" s="2" t="n">
        <v>795</v>
      </c>
      <c r="E36" s="2" t="n">
        <v>36</v>
      </c>
      <c r="F36" s="2" t="n">
        <v>11</v>
      </c>
      <c r="G36" s="2" t="n">
        <v>247800</v>
      </c>
      <c r="H36" s="2" t="n">
        <v>24.29</v>
      </c>
      <c r="I36" s="2" t="n">
        <v>4.53</v>
      </c>
      <c r="J36" s="2" t="n">
        <v>30.56</v>
      </c>
      <c r="K36" s="2" t="n">
        <v>300</v>
      </c>
      <c r="L36" s="2" t="n">
        <v>982</v>
      </c>
      <c r="M36" s="3" t="inlineStr">
        <is>
          <t>미집행</t>
        </is>
      </c>
    </row>
    <row r="37">
      <c r="A37" s="2" t="inlineStr">
        <is>
          <t>11/5</t>
        </is>
      </c>
      <c r="B37" s="2" t="inlineStr">
        <is>
          <t>화</t>
        </is>
      </c>
      <c r="C37" s="2" t="n">
        <v>16800</v>
      </c>
      <c r="D37" s="2" t="n">
        <v>1037</v>
      </c>
      <c r="E37" s="2" t="n">
        <v>56</v>
      </c>
      <c r="F37" s="2" t="n">
        <v>17</v>
      </c>
      <c r="G37" s="2" t="n">
        <v>382900</v>
      </c>
      <c r="H37" s="2" t="n">
        <v>23.05</v>
      </c>
      <c r="I37" s="2" t="n">
        <v>5.4</v>
      </c>
      <c r="J37" s="2" t="n">
        <v>30.36</v>
      </c>
      <c r="K37" s="2" t="n">
        <v>300</v>
      </c>
      <c r="L37" s="2" t="n">
        <v>988</v>
      </c>
      <c r="M37" s="3" t="inlineStr">
        <is>
          <t>미집행</t>
        </is>
      </c>
    </row>
    <row r="38">
      <c r="A38" s="2" t="inlineStr">
        <is>
          <t>11/6</t>
        </is>
      </c>
      <c r="B38" s="2" t="inlineStr">
        <is>
          <t>수</t>
        </is>
      </c>
      <c r="C38" s="2" t="n">
        <v>11100</v>
      </c>
      <c r="D38" s="2" t="n">
        <v>701</v>
      </c>
      <c r="E38" s="2" t="n">
        <v>37</v>
      </c>
      <c r="F38" s="2" t="n">
        <v>11</v>
      </c>
      <c r="G38" s="2" t="n">
        <v>267300</v>
      </c>
      <c r="H38" s="2" t="n">
        <v>25.41</v>
      </c>
      <c r="I38" s="2" t="n">
        <v>5.28</v>
      </c>
      <c r="J38" s="2" t="n">
        <v>29.73</v>
      </c>
      <c r="K38" s="2" t="n">
        <v>300</v>
      </c>
      <c r="L38" s="2" t="n">
        <v>1009</v>
      </c>
      <c r="M38" s="3" t="inlineStr">
        <is>
          <t>미집행</t>
        </is>
      </c>
    </row>
    <row r="39">
      <c r="A39" s="2" t="inlineStr">
        <is>
          <t>11/7</t>
        </is>
      </c>
      <c r="B39" s="2" t="inlineStr">
        <is>
          <t>목</t>
        </is>
      </c>
      <c r="C39" s="2" t="n">
        <v>9300</v>
      </c>
      <c r="D39" s="2" t="n">
        <v>775</v>
      </c>
      <c r="E39" s="2" t="n">
        <v>31</v>
      </c>
      <c r="F39" s="2" t="n">
        <v>10</v>
      </c>
      <c r="G39" s="2" t="n">
        <v>177700</v>
      </c>
      <c r="H39" s="2" t="n">
        <v>20.75</v>
      </c>
      <c r="I39" s="2" t="n">
        <v>4</v>
      </c>
      <c r="J39" s="2" t="n">
        <v>32.26</v>
      </c>
      <c r="K39" s="2" t="n">
        <v>300</v>
      </c>
      <c r="L39" s="2" t="n">
        <v>930</v>
      </c>
      <c r="M39" s="3" t="inlineStr">
        <is>
          <t>미집행</t>
        </is>
      </c>
    </row>
    <row r="40">
      <c r="A40" s="2" t="inlineStr">
        <is>
          <t>11/8</t>
        </is>
      </c>
      <c r="B40" s="2" t="inlineStr">
        <is>
          <t>금</t>
        </is>
      </c>
      <c r="C40" s="2" t="n">
        <v>9300</v>
      </c>
      <c r="D40" s="2" t="n">
        <v>932</v>
      </c>
      <c r="E40" s="2" t="n">
        <v>31</v>
      </c>
      <c r="F40" s="2" t="n">
        <v>9</v>
      </c>
      <c r="G40" s="2" t="n">
        <v>180700</v>
      </c>
      <c r="H40" s="2" t="n">
        <v>20.94</v>
      </c>
      <c r="I40" s="2" t="n">
        <v>3.33</v>
      </c>
      <c r="J40" s="2" t="n">
        <v>29.03</v>
      </c>
      <c r="K40" s="2" t="n">
        <v>300</v>
      </c>
      <c r="L40" s="2" t="n">
        <v>1033</v>
      </c>
      <c r="M40" s="3" t="inlineStr">
        <is>
          <t>미집행</t>
        </is>
      </c>
    </row>
    <row r="41">
      <c r="A41" s="2" t="inlineStr">
        <is>
          <t>11/9</t>
        </is>
      </c>
      <c r="B41" s="2" t="inlineStr">
        <is>
          <t>토</t>
        </is>
      </c>
      <c r="C41" s="2" t="n">
        <v>17400</v>
      </c>
      <c r="D41" s="2" t="n">
        <v>1214</v>
      </c>
      <c r="E41" s="2" t="n">
        <v>58</v>
      </c>
      <c r="F41" s="2" t="n">
        <v>13</v>
      </c>
      <c r="G41" s="2" t="n">
        <v>273700</v>
      </c>
      <c r="H41" s="2" t="n">
        <v>16.87</v>
      </c>
      <c r="I41" s="2" t="n">
        <v>4.78</v>
      </c>
      <c r="J41" s="2" t="n">
        <v>22.41</v>
      </c>
      <c r="K41" s="2" t="n">
        <v>300</v>
      </c>
      <c r="L41" s="2" t="n">
        <v>1338</v>
      </c>
      <c r="M41" s="3" t="inlineStr">
        <is>
          <t>미집행</t>
        </is>
      </c>
    </row>
    <row r="42">
      <c r="A42" s="2" t="inlineStr">
        <is>
          <t>11/10</t>
        </is>
      </c>
      <c r="B42" s="2" t="inlineStr">
        <is>
          <t>일</t>
        </is>
      </c>
      <c r="C42" s="2" t="n">
        <v>12600</v>
      </c>
      <c r="D42" s="2" t="n">
        <v>885</v>
      </c>
      <c r="E42" s="2" t="n">
        <v>42</v>
      </c>
      <c r="F42" s="2" t="n">
        <v>12</v>
      </c>
      <c r="G42" s="2" t="n">
        <v>263100</v>
      </c>
      <c r="H42" s="2" t="n">
        <v>21.84</v>
      </c>
      <c r="I42" s="2" t="n">
        <v>4.75</v>
      </c>
      <c r="J42" s="2" t="n">
        <v>28.57</v>
      </c>
      <c r="K42" s="2" t="n">
        <v>300</v>
      </c>
      <c r="L42" s="2" t="n">
        <v>1050</v>
      </c>
      <c r="M42" s="3" t="inlineStr">
        <is>
          <t>미집행</t>
        </is>
      </c>
    </row>
    <row r="43">
      <c r="A43" s="2" t="inlineStr">
        <is>
          <t>11/11</t>
        </is>
      </c>
      <c r="B43" s="2" t="inlineStr">
        <is>
          <t>월</t>
        </is>
      </c>
      <c r="C43" s="2" t="n">
        <v>10800</v>
      </c>
      <c r="D43" s="2" t="n">
        <v>691</v>
      </c>
      <c r="E43" s="2" t="n">
        <v>36</v>
      </c>
      <c r="F43" s="2" t="n">
        <v>8</v>
      </c>
      <c r="G43" s="2" t="n">
        <v>129000</v>
      </c>
      <c r="H43" s="2" t="n">
        <v>12.19</v>
      </c>
      <c r="I43" s="2" t="n">
        <v>5.21</v>
      </c>
      <c r="J43" s="2" t="n">
        <v>22.22</v>
      </c>
      <c r="K43" s="2" t="n">
        <v>300</v>
      </c>
      <c r="L43" s="2" t="n">
        <v>1350</v>
      </c>
      <c r="M43" s="3" t="inlineStr">
        <is>
          <t>미집행</t>
        </is>
      </c>
    </row>
    <row r="44">
      <c r="A44" s="2" t="inlineStr">
        <is>
          <t>11/12</t>
        </is>
      </c>
      <c r="B44" s="2" t="inlineStr">
        <is>
          <t>화</t>
        </is>
      </c>
      <c r="C44" s="2" t="n">
        <v>10800</v>
      </c>
      <c r="D44" s="2" t="n">
        <v>804</v>
      </c>
      <c r="E44" s="2" t="n">
        <v>36</v>
      </c>
      <c r="F44" s="2" t="n">
        <v>8</v>
      </c>
      <c r="G44" s="2" t="n">
        <v>136500</v>
      </c>
      <c r="H44" s="2" t="n">
        <v>11.38</v>
      </c>
      <c r="I44" s="2" t="n">
        <v>4.48</v>
      </c>
      <c r="J44" s="2" t="n">
        <v>22.22</v>
      </c>
      <c r="K44" s="2" t="n">
        <v>300</v>
      </c>
      <c r="L44" s="2" t="n">
        <v>1350</v>
      </c>
      <c r="M44" s="3" t="inlineStr">
        <is>
          <t>미집행</t>
        </is>
      </c>
    </row>
    <row r="45">
      <c r="A45" s="2" t="inlineStr">
        <is>
          <t>11/13</t>
        </is>
      </c>
      <c r="B45" s="2" t="inlineStr">
        <is>
          <t>수</t>
        </is>
      </c>
      <c r="C45" s="2" t="n">
        <v>9000</v>
      </c>
      <c r="D45" s="2" t="n">
        <v>799</v>
      </c>
      <c r="E45" s="2" t="n">
        <v>30</v>
      </c>
      <c r="F45" s="2" t="n">
        <v>12</v>
      </c>
      <c r="G45" s="2" t="n">
        <v>206400</v>
      </c>
      <c r="H45" s="2" t="n">
        <v>21.96</v>
      </c>
      <c r="I45" s="2" t="n">
        <v>3.75</v>
      </c>
      <c r="J45" s="2" t="n">
        <v>40</v>
      </c>
      <c r="K45" s="2" t="n">
        <v>300</v>
      </c>
      <c r="L45" s="2" t="n">
        <v>750</v>
      </c>
      <c r="M45" s="3" t="inlineStr">
        <is>
          <t>미집행</t>
        </is>
      </c>
    </row>
    <row r="46">
      <c r="A46" s="2" t="inlineStr">
        <is>
          <t>11/14</t>
        </is>
      </c>
      <c r="B46" s="2" t="inlineStr">
        <is>
          <t>목</t>
        </is>
      </c>
      <c r="C46" s="2" t="n">
        <v>10200</v>
      </c>
      <c r="D46" s="2" t="n">
        <v>894</v>
      </c>
      <c r="E46" s="2" t="n">
        <v>34</v>
      </c>
      <c r="F46" s="2" t="n">
        <v>10</v>
      </c>
      <c r="G46" s="2" t="n">
        <v>215700</v>
      </c>
      <c r="H46" s="2" t="n">
        <v>19.78</v>
      </c>
      <c r="I46" s="2" t="n">
        <v>3.8</v>
      </c>
      <c r="J46" s="2" t="n">
        <v>29.41</v>
      </c>
      <c r="K46" s="2" t="n">
        <v>300</v>
      </c>
      <c r="L46" s="2" t="n">
        <v>1020</v>
      </c>
      <c r="M46" s="3" t="inlineStr">
        <is>
          <t>미집행</t>
        </is>
      </c>
    </row>
    <row r="47">
      <c r="A47" s="2" t="inlineStr">
        <is>
          <t>11/15</t>
        </is>
      </c>
      <c r="B47" s="2" t="inlineStr">
        <is>
          <t>금</t>
        </is>
      </c>
      <c r="C47" s="2" t="n">
        <v>12000</v>
      </c>
      <c r="D47" s="2" t="n">
        <v>1086</v>
      </c>
      <c r="E47" s="2" t="n">
        <v>40</v>
      </c>
      <c r="F47" s="2" t="n">
        <v>13</v>
      </c>
      <c r="G47" s="2" t="n">
        <v>252400</v>
      </c>
      <c r="H47" s="2" t="n">
        <v>19.62</v>
      </c>
      <c r="I47" s="2" t="n">
        <v>3.68</v>
      </c>
      <c r="J47" s="2" t="n">
        <v>32.5</v>
      </c>
      <c r="K47" s="2" t="n">
        <v>300</v>
      </c>
      <c r="L47" s="2" t="n">
        <v>923</v>
      </c>
      <c r="M47" s="3" t="inlineStr">
        <is>
          <t>미집행</t>
        </is>
      </c>
    </row>
    <row r="48">
      <c r="A48" s="2" t="inlineStr">
        <is>
          <t>11/16</t>
        </is>
      </c>
      <c r="B48" s="2" t="inlineStr">
        <is>
          <t>토</t>
        </is>
      </c>
      <c r="C48" s="2" t="n">
        <v>19800</v>
      </c>
      <c r="D48" s="2" t="n">
        <v>1361</v>
      </c>
      <c r="E48" s="2" t="n">
        <v>66</v>
      </c>
      <c r="F48" s="2" t="n">
        <v>21</v>
      </c>
      <c r="G48" s="2" t="n">
        <v>535400</v>
      </c>
      <c r="H48" s="2" t="n">
        <v>27.04</v>
      </c>
      <c r="I48" s="2" t="n">
        <v>4.85</v>
      </c>
      <c r="J48" s="2" t="n">
        <v>31.82</v>
      </c>
      <c r="K48" s="2" t="n">
        <v>300</v>
      </c>
      <c r="L48" s="2" t="n">
        <v>943</v>
      </c>
      <c r="M48" s="3" t="inlineStr">
        <is>
          <t>미집행</t>
        </is>
      </c>
    </row>
    <row r="49">
      <c r="A49" s="2" t="inlineStr">
        <is>
          <t>11/17</t>
        </is>
      </c>
      <c r="B49" s="2" t="inlineStr">
        <is>
          <t>일</t>
        </is>
      </c>
      <c r="C49" s="2" t="n">
        <v>13200</v>
      </c>
      <c r="D49" s="2" t="n">
        <v>956</v>
      </c>
      <c r="E49" s="2" t="n">
        <v>44</v>
      </c>
      <c r="F49" s="2" t="n">
        <v>16</v>
      </c>
      <c r="G49" s="2" t="n">
        <v>294100</v>
      </c>
      <c r="H49" s="2" t="n">
        <v>21.01</v>
      </c>
      <c r="I49" s="2" t="n">
        <v>4.6</v>
      </c>
      <c r="J49" s="2" t="n">
        <v>36.36</v>
      </c>
      <c r="K49" s="2" t="n">
        <v>300</v>
      </c>
      <c r="L49" s="2" t="n">
        <v>825</v>
      </c>
      <c r="M49" s="3" t="inlineStr">
        <is>
          <t>미집행</t>
        </is>
      </c>
    </row>
    <row r="50">
      <c r="A50" s="2" t="inlineStr">
        <is>
          <t>11/18</t>
        </is>
      </c>
      <c r="B50" s="2" t="inlineStr">
        <is>
          <t>월</t>
        </is>
      </c>
      <c r="C50" s="2" t="n">
        <v>18300</v>
      </c>
      <c r="D50" s="2" t="n">
        <v>923</v>
      </c>
      <c r="E50" s="2" t="n">
        <v>61</v>
      </c>
      <c r="F50" s="2" t="n">
        <v>21</v>
      </c>
      <c r="G50" s="2" t="n">
        <v>367600</v>
      </c>
      <c r="H50" s="2" t="n">
        <v>17.84</v>
      </c>
      <c r="I50" s="2" t="n">
        <v>6.61</v>
      </c>
      <c r="J50" s="2" t="n">
        <v>34.43</v>
      </c>
      <c r="K50" s="2" t="n">
        <v>300</v>
      </c>
      <c r="L50" s="2" t="n">
        <v>871</v>
      </c>
      <c r="M50" s="3" t="inlineStr">
        <is>
          <t>미집행</t>
        </is>
      </c>
    </row>
    <row r="51">
      <c r="A51" s="2" t="inlineStr">
        <is>
          <t>11/19</t>
        </is>
      </c>
      <c r="B51" s="2" t="inlineStr">
        <is>
          <t>화</t>
        </is>
      </c>
      <c r="C51" s="2" t="n">
        <v>27000</v>
      </c>
      <c r="D51" s="2" t="n">
        <v>1442</v>
      </c>
      <c r="E51" s="2" t="n">
        <v>50</v>
      </c>
      <c r="F51" s="2" t="n">
        <v>16</v>
      </c>
      <c r="G51" s="2" t="n">
        <v>346200</v>
      </c>
      <c r="H51" s="2" t="n">
        <v>12.82</v>
      </c>
      <c r="I51" s="2" t="n">
        <v>3.47</v>
      </c>
      <c r="J51" s="2" t="n">
        <v>32</v>
      </c>
      <c r="K51" s="2" t="n">
        <v>540</v>
      </c>
      <c r="L51" s="2" t="n">
        <v>1688</v>
      </c>
      <c r="M51" s="4" t="inlineStr">
        <is>
          <t>집행</t>
        </is>
      </c>
    </row>
    <row r="52">
      <c r="A52" s="2" t="inlineStr">
        <is>
          <t>11/20</t>
        </is>
      </c>
      <c r="B52" s="2" t="inlineStr">
        <is>
          <t>수</t>
        </is>
      </c>
      <c r="C52" s="2" t="n">
        <v>42000</v>
      </c>
      <c r="D52" s="2" t="n">
        <v>1679</v>
      </c>
      <c r="E52" s="2" t="n">
        <v>70</v>
      </c>
      <c r="F52" s="2" t="n">
        <v>20</v>
      </c>
      <c r="G52" s="2" t="n">
        <v>532700</v>
      </c>
      <c r="H52" s="2" t="n">
        <v>12.68</v>
      </c>
      <c r="I52" s="2" t="n">
        <v>4.17</v>
      </c>
      <c r="J52" s="2" t="n">
        <v>28.57</v>
      </c>
      <c r="K52" s="2" t="n">
        <v>600</v>
      </c>
      <c r="L52" s="2" t="n">
        <v>2100</v>
      </c>
      <c r="M52" s="4" t="inlineStr">
        <is>
          <t>집행</t>
        </is>
      </c>
    </row>
    <row r="53">
      <c r="A53" s="2" t="inlineStr">
        <is>
          <t>11/21</t>
        </is>
      </c>
      <c r="B53" s="2" t="inlineStr">
        <is>
          <t>목</t>
        </is>
      </c>
      <c r="C53" s="2" t="n">
        <v>36600</v>
      </c>
      <c r="D53" s="2" t="n">
        <v>1641</v>
      </c>
      <c r="E53" s="2" t="n">
        <v>61</v>
      </c>
      <c r="F53" s="2" t="n">
        <v>18</v>
      </c>
      <c r="G53" s="2" t="n">
        <v>413700</v>
      </c>
      <c r="H53" s="2" t="n">
        <v>11.3</v>
      </c>
      <c r="I53" s="2" t="n">
        <v>3.72</v>
      </c>
      <c r="J53" s="2" t="n">
        <v>29.51</v>
      </c>
      <c r="K53" s="2" t="n">
        <v>600</v>
      </c>
      <c r="L53" s="2" t="n">
        <v>2033</v>
      </c>
      <c r="M53" s="4" t="inlineStr">
        <is>
          <t>집행</t>
        </is>
      </c>
    </row>
    <row r="54">
      <c r="A54" s="2" t="inlineStr">
        <is>
          <t>11/22</t>
        </is>
      </c>
      <c r="B54" s="2" t="inlineStr">
        <is>
          <t>금</t>
        </is>
      </c>
      <c r="C54" s="2" t="n">
        <v>44400</v>
      </c>
      <c r="D54" s="2" t="n">
        <v>1953</v>
      </c>
      <c r="E54" s="2" t="n">
        <v>74</v>
      </c>
      <c r="F54" s="2" t="n">
        <v>24</v>
      </c>
      <c r="G54" s="2" t="n">
        <v>529000</v>
      </c>
      <c r="H54" s="2" t="n">
        <v>11.91</v>
      </c>
      <c r="I54" s="2" t="n">
        <v>3.79</v>
      </c>
      <c r="J54" s="2" t="n">
        <v>32.43</v>
      </c>
      <c r="K54" s="2" t="n">
        <v>600</v>
      </c>
      <c r="L54" s="2" t="n">
        <v>1850</v>
      </c>
      <c r="M54" s="4" t="inlineStr">
        <is>
          <t>집행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</cols>
  <sheetData>
    <row r="1">
      <c r="A1" s="1" t="inlineStr">
        <is>
          <t>지표</t>
        </is>
      </c>
      <c r="B1" s="1" t="inlineStr">
        <is>
          <t>계산식</t>
        </is>
      </c>
      <c r="C1" s="1" t="inlineStr">
        <is>
          <t>설명</t>
        </is>
      </c>
    </row>
    <row r="2">
      <c r="A2" s="2" t="inlineStr">
        <is>
          <t>ROAS</t>
        </is>
      </c>
      <c r="B2" s="2" t="inlineStr">
        <is>
          <t>주문금액 / 광고지출</t>
        </is>
      </c>
      <c r="C2" s="2" t="inlineStr">
        <is>
          <t>광고비 1원당 발생한 매출</t>
        </is>
      </c>
    </row>
    <row r="3">
      <c r="A3" s="2" t="inlineStr">
        <is>
          <t>CTR</t>
        </is>
      </c>
      <c r="B3" s="2" t="inlineStr">
        <is>
          <t>(클릭수 / 노출수) × 100</t>
        </is>
      </c>
      <c r="C3" s="2" t="inlineStr">
        <is>
          <t>노출 대비 클릭 비율 (%)</t>
        </is>
      </c>
    </row>
    <row r="4">
      <c r="A4" s="2" t="inlineStr">
        <is>
          <t>CVR</t>
        </is>
      </c>
      <c r="B4" s="2" t="inlineStr">
        <is>
          <t>(주문수 / 클릭수) × 100</t>
        </is>
      </c>
      <c r="C4" s="2" t="inlineStr">
        <is>
          <t>클릭 대비 주문 비율 (%)</t>
        </is>
      </c>
    </row>
    <row r="5">
      <c r="A5" s="2" t="inlineStr">
        <is>
          <t>CPC</t>
        </is>
      </c>
      <c r="B5" s="2" t="inlineStr">
        <is>
          <t>광고지출 / 클릭수</t>
        </is>
      </c>
      <c r="C5" s="2" t="inlineStr">
        <is>
          <t>클릭당 광고비 (원)</t>
        </is>
      </c>
    </row>
    <row r="6">
      <c r="A6" s="2" t="inlineStr">
        <is>
          <t>CPA</t>
        </is>
      </c>
      <c r="B6" s="2" t="inlineStr">
        <is>
          <t>광고지출 / 주문수</t>
        </is>
      </c>
      <c r="C6" s="2" t="inlineStr">
        <is>
          <t>주문당 광고비 (원)</t>
        </is>
      </c>
    </row>
    <row r="7">
      <c r="A7" s="2" t="inlineStr"/>
      <c r="B7" s="2" t="inlineStr"/>
      <c r="C7" s="2" t="inlineStr"/>
    </row>
    <row r="8">
      <c r="A8" s="2" t="inlineStr">
        <is>
          <t>기간별 비교</t>
        </is>
      </c>
      <c r="B8" s="2" t="inlineStr"/>
      <c r="C8" s="2" t="inlineStr"/>
    </row>
    <row r="9">
      <c r="A9" s="2" t="inlineStr">
        <is>
          <t>11/1~18 평균 광고지출</t>
        </is>
      </c>
      <c r="B9" s="2">
        <f>SUM(원본데이터!C2:C19)/18</f>
        <v/>
      </c>
      <c r="C9" s="2" t="inlineStr">
        <is>
          <t>일평균 광고지출</t>
        </is>
      </c>
    </row>
    <row r="10">
      <c r="A10" s="2" t="inlineStr">
        <is>
          <t>11/19~22 평균 광고지출</t>
        </is>
      </c>
      <c r="B10" s="2">
        <f>SUM(원본데이터!C20:C23)/4</f>
        <v/>
      </c>
      <c r="C10" s="2" t="inlineStr">
        <is>
          <t>일평균 광고지출</t>
        </is>
      </c>
    </row>
    <row r="11">
      <c r="A11" s="2" t="inlineStr">
        <is>
          <t>11/1~18 평균 주문금액</t>
        </is>
      </c>
      <c r="B11" s="2">
        <f>SUM(원본데이터!G2:G19)/18</f>
        <v/>
      </c>
      <c r="C11" s="2" t="inlineStr">
        <is>
          <t>일평균 주문금액</t>
        </is>
      </c>
    </row>
    <row r="12">
      <c r="A12" s="2" t="inlineStr">
        <is>
          <t>11/19~22 평균 주문금액</t>
        </is>
      </c>
      <c r="B12" s="2">
        <f>SUM(원본데이터!G20:G23)/4</f>
        <v/>
      </c>
      <c r="C12" s="2" t="inlineStr">
        <is>
          <t>일평균 주문금액</t>
        </is>
      </c>
    </row>
    <row r="13">
      <c r="A13" s="2" t="inlineStr">
        <is>
          <t>11/1~18 평균 CVR</t>
        </is>
      </c>
      <c r="B13" s="2">
        <f>AVERAGE(원본데이터!J2:J19)</f>
        <v/>
      </c>
      <c r="C13" s="2" t="inlineStr">
        <is>
          <t>일평균 전환율</t>
        </is>
      </c>
    </row>
    <row r="14">
      <c r="A14" s="2" t="inlineStr">
        <is>
          <t>11/19~22 평균 CVR</t>
        </is>
      </c>
      <c r="B14" s="2">
        <f>AVERAGE(원본데이터!J20:J23)</f>
        <v/>
      </c>
      <c r="C14" s="2" t="inlineStr">
        <is>
          <t>일평균 전환율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구분</t>
        </is>
      </c>
      <c r="B1" s="1" t="inlineStr">
        <is>
          <t>11월 1일~18일</t>
        </is>
      </c>
      <c r="C1" s="1" t="inlineStr">
        <is>
          <t>11월 19일~22일</t>
        </is>
      </c>
      <c r="D1" s="1" t="inlineStr">
        <is>
          <t>변화율</t>
        </is>
      </c>
    </row>
    <row r="2">
      <c r="A2" s="2" t="inlineStr">
        <is>
          <t>일평균 광고지출</t>
        </is>
      </c>
      <c r="B2" s="2" t="n">
        <v>12528</v>
      </c>
      <c r="C2" s="2" t="n">
        <v>37500</v>
      </c>
      <c r="D2" s="2" t="inlineStr">
        <is>
          <t>199.2%</t>
        </is>
      </c>
    </row>
    <row r="3">
      <c r="A3" s="2" t="inlineStr">
        <is>
          <t>일평균 주문금액</t>
        </is>
      </c>
      <c r="B3" s="2" t="n">
        <v>251289</v>
      </c>
      <c r="C3" s="2" t="n">
        <v>455400</v>
      </c>
      <c r="D3" s="2" t="inlineStr">
        <is>
          <t>81.2%</t>
        </is>
      </c>
    </row>
    <row r="4">
      <c r="A4" s="2" t="inlineStr">
        <is>
          <t>일평균 주문수</t>
        </is>
      </c>
      <c r="B4" s="2" t="n">
        <v>12.7</v>
      </c>
      <c r="C4" s="2" t="n">
        <v>19.5</v>
      </c>
      <c r="D4" s="2" t="inlineStr">
        <is>
          <t>53.5%</t>
        </is>
      </c>
    </row>
    <row r="5">
      <c r="A5" s="2" t="inlineStr">
        <is>
          <t>일평균 노출수</t>
        </is>
      </c>
      <c r="B5" s="2" t="n">
        <v>956</v>
      </c>
      <c r="C5" s="2" t="n">
        <v>1679</v>
      </c>
      <c r="D5" s="2" t="inlineStr">
        <is>
          <t>75.6%</t>
        </is>
      </c>
    </row>
    <row r="6">
      <c r="A6" s="2" t="inlineStr">
        <is>
          <t>E: 600원+할인</t>
        </is>
      </c>
      <c r="B6" s="2" t="n">
        <v>600</v>
      </c>
      <c r="C6" s="2" t="n">
        <v>3000</v>
      </c>
      <c r="D6" s="2" t="n">
        <v>7900</v>
      </c>
      <c r="E6" t="inlineStr">
        <is>
          <t>최악</t>
        </is>
      </c>
    </row>
    <row r="7">
      <c r="A7" s="2" t="inlineStr">
        <is>
          <t>평균 CVR</t>
        </is>
      </c>
      <c r="B7" s="2" t="n">
        <v>31.5</v>
      </c>
      <c r="C7" s="2" t="n">
        <v>30.6</v>
      </c>
      <c r="D7" s="2" t="inlineStr">
        <is>
          <t>-2.9%</t>
        </is>
      </c>
    </row>
    <row r="8">
      <c r="A8" s="2" t="inlineStr">
        <is>
          <t>평균 CTR</t>
        </is>
      </c>
      <c r="B8" s="2" t="n">
        <v>4.2</v>
      </c>
      <c r="C8" s="2" t="n">
        <v>3.8</v>
      </c>
      <c r="D8" s="2" t="inlineStr">
        <is>
          <t>-9.5%</t>
        </is>
      </c>
    </row>
    <row r="9">
      <c r="A9" s="2" t="inlineStr"/>
      <c r="B9" s="2" t="inlineStr"/>
      <c r="C9" s="2" t="inlineStr"/>
      <c r="D9" s="2" t="inlineStr"/>
    </row>
    <row r="10">
      <c r="A10" s="2" t="inlineStr">
        <is>
          <t>전략 비교 (객단가 20,000원 기준)</t>
        </is>
      </c>
      <c r="B10" s="2" t="inlineStr"/>
      <c r="C10" s="2" t="inlineStr"/>
      <c r="D10" s="2" t="inlineStr"/>
    </row>
    <row r="11">
      <c r="A11" s="2" t="inlineStr">
        <is>
          <t>전략 A: 300원 광고 + 3,000원 할인</t>
        </is>
      </c>
      <c r="B11" s="2" t="inlineStr"/>
      <c r="C11" s="2" t="inlineStr"/>
      <c r="D11" s="2" t="inlineStr"/>
    </row>
    <row r="12">
      <c r="A12" s="2" t="inlineStr">
        <is>
          <t>주문 1건당 순이익</t>
        </is>
      </c>
      <c r="B12" s="2" t="n">
        <v>8200</v>
      </c>
      <c r="C12" s="2" t="inlineStr"/>
      <c r="D12" s="2" t="inlineStr"/>
    </row>
    <row r="13">
      <c r="A13" s="2" t="inlineStr"/>
      <c r="B13" s="2" t="inlineStr"/>
      <c r="C13" s="2" t="inlineStr"/>
      <c r="D13" s="2" t="inlineStr"/>
    </row>
    <row r="14">
      <c r="A14" s="2" t="inlineStr">
        <is>
          <t>전략 B: 600원 광고만 집행</t>
        </is>
      </c>
      <c r="B14" s="2" t="inlineStr"/>
      <c r="C14" s="2" t="inlineStr"/>
      <c r="D14" s="2" t="inlineStr"/>
    </row>
    <row r="15">
      <c r="A15" s="2" t="inlineStr">
        <is>
          <t>광고비 감소 시 효과 감소 분석</t>
        </is>
      </c>
      <c r="B15" s="2" t="n">
        <v>9400</v>
      </c>
      <c r="C15" s="2" t="inlineStr"/>
      <c r="D15" s="2" t="inlineStr"/>
    </row>
    <row r="16">
      <c r="A16" s="2" t="inlineStr">
        <is>
          <t>광고비</t>
        </is>
      </c>
      <c r="B16" s="2" t="inlineStr">
        <is>
          <t>예상 주문수 변화</t>
        </is>
      </c>
      <c r="C16" s="2" t="inlineStr">
        <is>
          <t>비고</t>
        </is>
      </c>
      <c r="D16" s="2" t="inlineStr"/>
    </row>
    <row r="17">
      <c r="A17" s="2" t="inlineStr">
        <is>
          <t>600원</t>
        </is>
      </c>
      <c r="B17" s="2" t="inlineStr">
        <is>
          <t>100% (기준)</t>
        </is>
      </c>
      <c r="C17" s="2" t="inlineStr">
        <is>
          <t>최적</t>
        </is>
      </c>
      <c r="D17" s="2" t="inlineStr"/>
    </row>
    <row r="18">
      <c r="A18" t="inlineStr">
        <is>
          <t>500원</t>
        </is>
      </c>
      <c r="B18" t="inlineStr">
        <is>
          <t>약 17% 감소</t>
        </is>
      </c>
      <c r="C18" t="inlineStr">
        <is>
          <t>효과 감소</t>
        </is>
      </c>
    </row>
    <row r="19">
      <c r="A19" t="inlineStr">
        <is>
          <t>400원</t>
        </is>
      </c>
      <c r="B19" t="inlineStr">
        <is>
          <t>약 33% 감소</t>
        </is>
      </c>
      <c r="C19" t="inlineStr">
        <is>
          <t>효과 감소</t>
        </is>
      </c>
    </row>
    <row r="20">
      <c r="A20" t="inlineStr">
        <is>
          <t>300원</t>
        </is>
      </c>
      <c r="B20" t="inlineStr">
        <is>
          <t>약 50% 감소</t>
        </is>
      </c>
      <c r="C20" t="inlineStr">
        <is>
          <t>효과 감소</t>
        </is>
      </c>
      <c r="D20" t="inlineStr">
        <is>
          <t>실제 순이익/주문</t>
        </is>
      </c>
      <c r="E20" t="inlineStr">
        <is>
          <t>비고</t>
        </is>
      </c>
    </row>
    <row r="21">
      <c r="A21" t="inlineStr">
        <is>
          <t>A: 300원+할인</t>
        </is>
      </c>
      <c r="B21" t="n">
        <v>300</v>
      </c>
      <c r="C21" t="n">
        <v>3000</v>
      </c>
      <c r="D21" t="n">
        <v>8200</v>
      </c>
    </row>
    <row r="22">
      <c r="A22" t="inlineStr">
        <is>
          <t>B: 400원+할인</t>
        </is>
      </c>
      <c r="B22" t="n">
        <v>400</v>
      </c>
      <c r="C22" t="n">
        <v>3000</v>
      </c>
      <c r="D22" t="n">
        <v>8100</v>
      </c>
    </row>
    <row r="23">
      <c r="A23" t="inlineStr">
        <is>
          <t>C: 500원+할인</t>
        </is>
      </c>
      <c r="B23" t="n">
        <v>500</v>
      </c>
      <c r="C23" t="n">
        <v>3000</v>
      </c>
      <c r="D23" t="n">
        <v>8000</v>
      </c>
    </row>
    <row r="24">
      <c r="A24" t="inlineStr">
        <is>
          <t>D: 600원만</t>
        </is>
      </c>
      <c r="B24" t="n">
        <v>600</v>
      </c>
      <c r="C24" t="n">
        <v>0</v>
      </c>
      <c r="D24" t="n">
        <v>9400</v>
      </c>
      <c r="E24" t="inlineStr">
        <is>
          <t>최적</t>
        </is>
      </c>
    </row>
    <row r="26">
      <c r="A26" t="inlineStr">
        <is>
          <t>전환율별 최적 전략</t>
        </is>
      </c>
    </row>
    <row r="27">
      <c r="A27" t="inlineStr">
        <is>
          <t>CVR 구간</t>
        </is>
      </c>
      <c r="B27" t="inlineStr">
        <is>
          <t>권장 전략</t>
        </is>
      </c>
      <c r="C27" t="inlineStr">
        <is>
          <t>이유</t>
        </is>
      </c>
      <c r="D27" t="inlineStr">
        <is>
          <t>예상 순이익/주문</t>
        </is>
      </c>
    </row>
    <row r="28">
      <c r="A28" t="inlineStr">
        <is>
          <t>30% 이상</t>
        </is>
      </c>
      <c r="B28" t="inlineStr">
        <is>
          <t>600원 광고만</t>
        </is>
      </c>
      <c r="C28" t="inlineStr">
        <is>
          <t>전환율 높아 할인 불필요</t>
        </is>
      </c>
      <c r="D28" t="n">
        <v>9400</v>
      </c>
    </row>
    <row r="29">
      <c r="A29" t="inlineStr">
        <is>
          <t>20~30%</t>
        </is>
      </c>
      <c r="B29" t="inlineStr">
        <is>
          <t>600원 광고만</t>
        </is>
      </c>
      <c r="C29" t="inlineStr">
        <is>
          <t>할인 효과 대비 마진 손실 큼</t>
        </is>
      </c>
      <c r="D29" t="n">
        <v>9400</v>
      </c>
    </row>
    <row r="30">
      <c r="A30" t="inlineStr">
        <is>
          <t>15~20%</t>
        </is>
      </c>
      <c r="B30" t="inlineStr">
        <is>
          <t>상황별 판단</t>
        </is>
      </c>
      <c r="C30" t="inlineStr">
        <is>
          <t>할인으로 주문 30% 필요</t>
        </is>
      </c>
      <c r="D30" t="inlineStr">
        <is>
          <t>8200~9400</t>
        </is>
      </c>
    </row>
    <row r="31">
      <c r="A31" t="inlineStr">
        <is>
          <t>15% 미만</t>
        </is>
      </c>
      <c r="B31" t="inlineStr">
        <is>
          <t>300원+할인 고려</t>
        </is>
      </c>
      <c r="C31" t="inlineStr">
        <is>
          <t>할인으로 전환율 개선 필요</t>
        </is>
      </c>
      <c r="D31" t="n">
        <v>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2025-11-24T03:36:05Z</dcterms:created>
  <dcterms:modified xsi:type="dcterms:W3CDTF">2025-11-24T03:50:51Z</dcterms:modified>
</cp:coreProperties>
</file>